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W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Cement Plant A - Energy Data 2024</t>
        </is>
      </c>
    </row>
    <row r="3">
      <c r="A3" t="inlineStr">
        <is>
          <t>Month</t>
        </is>
      </c>
      <c r="B3" t="inlineStr">
        <is>
          <t>Electricity Consumption (kWh)</t>
        </is>
      </c>
      <c r="C3" t="inlineStr">
        <is>
          <t>Power Usage (MWh)</t>
        </is>
      </c>
      <c r="D3" t="inlineStr">
        <is>
          <t>Energy - Electrical (GJ)</t>
        </is>
      </c>
    </row>
    <row r="4">
      <c r="A4" t="inlineStr">
        <is>
          <t>Jan</t>
        </is>
      </c>
      <c r="B4" t="n">
        <v>12398302</v>
      </c>
      <c r="C4">
        <f>B4/1000</f>
        <v/>
      </c>
      <c r="D4">
        <f>C4*3.6</f>
        <v/>
      </c>
    </row>
    <row r="5">
      <c r="A5" t="inlineStr">
        <is>
          <t>Feb</t>
        </is>
      </c>
      <c r="B5" t="n">
        <v>7375440</v>
      </c>
      <c r="C5">
        <f>B5/1000</f>
        <v/>
      </c>
      <c r="D5">
        <f>C5*3.6</f>
        <v/>
      </c>
    </row>
    <row r="6">
      <c r="A6" t="inlineStr">
        <is>
          <t>Mar</t>
        </is>
      </c>
      <c r="B6" t="n">
        <v>9427410</v>
      </c>
      <c r="C6">
        <f>B6/1000</f>
        <v/>
      </c>
      <c r="D6">
        <f>C6*3.6</f>
        <v/>
      </c>
    </row>
    <row r="7">
      <c r="A7" t="inlineStr">
        <is>
          <t>Apr</t>
        </is>
      </c>
      <c r="B7" t="n">
        <v>10440475</v>
      </c>
      <c r="C7">
        <f>B7/1000</f>
        <v/>
      </c>
      <c r="D7">
        <f>C7*3.6</f>
        <v/>
      </c>
    </row>
    <row r="8">
      <c r="A8" t="inlineStr">
        <is>
          <t>May</t>
        </is>
      </c>
      <c r="B8" t="n">
        <v>14969580</v>
      </c>
      <c r="C8">
        <f>B8/1000</f>
        <v/>
      </c>
      <c r="D8">
        <f>C8*3.6</f>
        <v/>
      </c>
    </row>
    <row r="9">
      <c r="A9" t="inlineStr">
        <is>
          <t>Jun</t>
        </is>
      </c>
      <c r="B9" t="n">
        <v>7083200</v>
      </c>
      <c r="C9">
        <f>B9/1000</f>
        <v/>
      </c>
      <c r="D9">
        <f>C9*3.6</f>
        <v/>
      </c>
    </row>
    <row r="10">
      <c r="A10" t="inlineStr">
        <is>
          <t>Jul</t>
        </is>
      </c>
      <c r="B10" t="n">
        <v>7946961</v>
      </c>
      <c r="C10">
        <f>B10/1000</f>
        <v/>
      </c>
      <c r="D10">
        <f>C10*3.6</f>
        <v/>
      </c>
    </row>
    <row r="11">
      <c r="A11" t="inlineStr">
        <is>
          <t>Aug</t>
        </is>
      </c>
      <c r="B11" t="n">
        <v>8043200</v>
      </c>
      <c r="C11">
        <f>B11/1000</f>
        <v/>
      </c>
      <c r="D11">
        <f>C11*3.6</f>
        <v/>
      </c>
    </row>
    <row r="12">
      <c r="A12" t="inlineStr">
        <is>
          <t>Sep</t>
        </is>
      </c>
      <c r="B12" t="n">
        <v>5769057</v>
      </c>
      <c r="C12">
        <f>B12/1000</f>
        <v/>
      </c>
      <c r="D12">
        <f>C12*3.6</f>
        <v/>
      </c>
    </row>
    <row r="13">
      <c r="A13" t="inlineStr">
        <is>
          <t>Oct</t>
        </is>
      </c>
      <c r="B13" t="n">
        <v>7149088</v>
      </c>
      <c r="C13">
        <f>B13/1000</f>
        <v/>
      </c>
      <c r="D13">
        <f>C13*3.6</f>
        <v/>
      </c>
    </row>
    <row r="14">
      <c r="A14" t="inlineStr">
        <is>
          <t>Nov</t>
        </is>
      </c>
      <c r="B14" t="n">
        <v>14866026</v>
      </c>
      <c r="C14">
        <f>B14/1000</f>
        <v/>
      </c>
      <c r="D14">
        <f>C14*3.6</f>
        <v/>
      </c>
    </row>
    <row r="15">
      <c r="A15" t="inlineStr">
        <is>
          <t>Dec</t>
        </is>
      </c>
      <c r="B15" t="n">
        <v>9593187</v>
      </c>
      <c r="C15">
        <f>B15/1000</f>
        <v/>
      </c>
      <c r="D15">
        <f>C15*3.6</f>
        <v/>
      </c>
    </row>
    <row r="16">
      <c r="A16" s="2" t="inlineStr">
        <is>
          <t>Total</t>
        </is>
      </c>
      <c r="B16">
        <f>SUM(B4:B15)</f>
        <v/>
      </c>
      <c r="C16">
        <f>SUM(C4:C15)</f>
        <v/>
      </c>
      <c r="D16">
        <f>SUM(D4:D15)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Cement Plant A - Emissions Data 2024</t>
        </is>
      </c>
    </row>
    <row r="3">
      <c r="A3" t="inlineStr">
        <is>
          <t>Month</t>
        </is>
      </c>
      <c r="B3" t="inlineStr">
        <is>
          <t>CO2 Emissions (tonnes)</t>
        </is>
      </c>
      <c r="C3" t="inlineStr">
        <is>
          <t>Carbon Dioxide (kg)</t>
        </is>
      </c>
      <c r="D3" t="inlineStr">
        <is>
          <t>GHG - Scope 1 (tCO2e)</t>
        </is>
      </c>
      <c r="E3" t="inlineStr">
        <is>
          <t>Production (tonnes clinker)</t>
        </is>
      </c>
      <c r="F3" t="inlineStr">
        <is>
          <t>Intensity (kg CO2/tonne)</t>
        </is>
      </c>
    </row>
    <row r="4">
      <c r="A4" t="inlineStr">
        <is>
          <t>Jan</t>
        </is>
      </c>
      <c r="B4" t="n">
        <v>8731.84</v>
      </c>
      <c r="C4">
        <f>B4*1000</f>
        <v/>
      </c>
      <c r="D4">
        <f>B4</f>
        <v/>
      </c>
      <c r="E4" t="n">
        <v>10495</v>
      </c>
      <c r="F4">
        <f>B4*1000/E4</f>
        <v/>
      </c>
    </row>
    <row r="5">
      <c r="A5" t="inlineStr">
        <is>
          <t>Feb</t>
        </is>
      </c>
      <c r="B5" t="n">
        <v>10607.91</v>
      </c>
      <c r="C5">
        <f>B5*1000</f>
        <v/>
      </c>
      <c r="D5">
        <f>B5</f>
        <v/>
      </c>
      <c r="E5" t="n">
        <v>11919</v>
      </c>
      <c r="F5">
        <f>B5*1000/E5</f>
        <v/>
      </c>
    </row>
    <row r="6">
      <c r="A6" t="inlineStr">
        <is>
          <t>Mar</t>
        </is>
      </c>
      <c r="B6" t="n">
        <v>8815.27</v>
      </c>
      <c r="C6">
        <f>B6*1000</f>
        <v/>
      </c>
      <c r="D6">
        <f>B6</f>
        <v/>
      </c>
      <c r="E6" t="n">
        <v>8986</v>
      </c>
      <c r="F6">
        <f>B6*1000/E6</f>
        <v/>
      </c>
    </row>
    <row r="7">
      <c r="A7" t="inlineStr">
        <is>
          <t>Apr</t>
        </is>
      </c>
      <c r="B7" t="n">
        <v>8886.75</v>
      </c>
      <c r="C7">
        <f>B7*1000</f>
        <v/>
      </c>
      <c r="D7">
        <f>B7</f>
        <v/>
      </c>
      <c r="E7" t="n">
        <v>10250</v>
      </c>
      <c r="F7">
        <f>B7*1000/E7</f>
        <v/>
      </c>
    </row>
    <row r="8">
      <c r="A8" t="inlineStr">
        <is>
          <t>May</t>
        </is>
      </c>
      <c r="B8" t="n">
        <v>10660.36</v>
      </c>
      <c r="C8">
        <f>B8*1000</f>
        <v/>
      </c>
      <c r="D8">
        <f>B8</f>
        <v/>
      </c>
      <c r="E8" t="n">
        <v>10038</v>
      </c>
      <c r="F8">
        <f>B8*1000/E8</f>
        <v/>
      </c>
    </row>
    <row r="9">
      <c r="A9" t="inlineStr">
        <is>
          <t>Jun</t>
        </is>
      </c>
      <c r="B9" t="n">
        <v>8133.47</v>
      </c>
      <c r="C9">
        <f>B9*1000</f>
        <v/>
      </c>
      <c r="D9">
        <f>B9</f>
        <v/>
      </c>
      <c r="E9" t="n">
        <v>9392</v>
      </c>
      <c r="F9">
        <f>B9*1000/E9</f>
        <v/>
      </c>
    </row>
    <row r="10">
      <c r="A10" t="inlineStr">
        <is>
          <t>Jul</t>
        </is>
      </c>
      <c r="B10" t="n">
        <v>6860.36</v>
      </c>
      <c r="C10">
        <f>B10*1000</f>
        <v/>
      </c>
      <c r="D10">
        <f>B10</f>
        <v/>
      </c>
      <c r="E10" t="n">
        <v>8216</v>
      </c>
      <c r="F10">
        <f>B10*1000/E10</f>
        <v/>
      </c>
    </row>
    <row r="11">
      <c r="A11" t="inlineStr">
        <is>
          <t>Aug</t>
        </is>
      </c>
      <c r="B11" t="n">
        <v>10334.38</v>
      </c>
      <c r="C11">
        <f>B11*1000</f>
        <v/>
      </c>
      <c r="D11">
        <f>B11</f>
        <v/>
      </c>
      <c r="E11" t="n">
        <v>9412</v>
      </c>
      <c r="F11">
        <f>B11*1000/E11</f>
        <v/>
      </c>
    </row>
    <row r="12">
      <c r="A12" t="inlineStr">
        <is>
          <t>Sep</t>
        </is>
      </c>
      <c r="B12" t="n">
        <v>10727.42</v>
      </c>
      <c r="C12">
        <f>B12*1000</f>
        <v/>
      </c>
      <c r="D12">
        <f>B12</f>
        <v/>
      </c>
      <c r="E12" t="n">
        <v>9979</v>
      </c>
      <c r="F12">
        <f>B12*1000/E12</f>
        <v/>
      </c>
    </row>
    <row r="13">
      <c r="A13" t="inlineStr">
        <is>
          <t>Oct</t>
        </is>
      </c>
      <c r="B13" t="n">
        <v>7442.44</v>
      </c>
      <c r="C13">
        <f>B13*1000</f>
        <v/>
      </c>
      <c r="D13">
        <f>B13</f>
        <v/>
      </c>
      <c r="E13" t="n">
        <v>8839</v>
      </c>
      <c r="F13">
        <f>B13*1000/E13</f>
        <v/>
      </c>
    </row>
    <row r="14">
      <c r="A14" t="inlineStr">
        <is>
          <t>Nov</t>
        </is>
      </c>
      <c r="B14" t="n">
        <v>9884.57</v>
      </c>
      <c r="C14">
        <f>B14*1000</f>
        <v/>
      </c>
      <c r="D14">
        <f>B14</f>
        <v/>
      </c>
      <c r="E14" t="n">
        <v>9855</v>
      </c>
      <c r="F14">
        <f>B14*1000/E14</f>
        <v/>
      </c>
    </row>
    <row r="15">
      <c r="A15" t="inlineStr">
        <is>
          <t>Dec</t>
        </is>
      </c>
      <c r="B15" t="n">
        <v>11350.02</v>
      </c>
      <c r="C15">
        <f>B15*1000</f>
        <v/>
      </c>
      <c r="D15">
        <f>B15</f>
        <v/>
      </c>
      <c r="E15" t="n">
        <v>11084</v>
      </c>
      <c r="F15">
        <f>B15*1000/E15</f>
        <v/>
      </c>
    </row>
    <row r="16">
      <c r="A16" s="2" t="inlineStr">
        <is>
          <t>Total</t>
        </is>
      </c>
      <c r="B16">
        <f>SUM(B4:B15)</f>
        <v/>
      </c>
      <c r="E16">
        <f>SUM(E4:E15)</f>
        <v/>
      </c>
      <c r="F16">
        <f>B16*1000/E16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Water Consumption (m³)</t>
        </is>
      </c>
      <c r="C1" t="inlineStr">
        <is>
          <t>Water Withdrawal (liters)</t>
        </is>
      </c>
      <c r="D1" t="inlineStr">
        <is>
          <t>Recycled Water (%)</t>
        </is>
      </c>
    </row>
    <row r="2">
      <c r="A2" t="inlineStr">
        <is>
          <t>Jan</t>
        </is>
      </c>
      <c r="B2" t="n">
        <v>18341</v>
      </c>
      <c r="C2">
        <f>B2*1000</f>
        <v/>
      </c>
      <c r="D2" t="n">
        <v>41</v>
      </c>
    </row>
    <row r="3">
      <c r="A3" t="inlineStr">
        <is>
          <t>Feb</t>
        </is>
      </c>
      <c r="B3" t="n">
        <v>18162</v>
      </c>
      <c r="C3">
        <f>B3*1000</f>
        <v/>
      </c>
      <c r="D3" t="n">
        <v>37</v>
      </c>
    </row>
    <row r="4">
      <c r="A4" t="inlineStr">
        <is>
          <t>Mar</t>
        </is>
      </c>
      <c r="B4" t="n">
        <v>19154</v>
      </c>
      <c r="C4">
        <f>B4*1000</f>
        <v/>
      </c>
      <c r="D4" t="n">
        <v>41</v>
      </c>
    </row>
    <row r="5">
      <c r="A5" t="inlineStr">
        <is>
          <t>Apr</t>
        </is>
      </c>
      <c r="B5" t="n">
        <v>18527</v>
      </c>
      <c r="C5">
        <f>B5*1000</f>
        <v/>
      </c>
      <c r="D5" t="n">
        <v>44</v>
      </c>
    </row>
    <row r="6">
      <c r="A6" t="inlineStr">
        <is>
          <t>May</t>
        </is>
      </c>
      <c r="B6" t="n">
        <v>16494</v>
      </c>
      <c r="C6">
        <f>B6*1000</f>
        <v/>
      </c>
      <c r="D6" t="n">
        <v>31</v>
      </c>
    </row>
    <row r="7">
      <c r="A7" t="inlineStr">
        <is>
          <t>Jun</t>
        </is>
      </c>
      <c r="B7" t="n">
        <v>23092</v>
      </c>
      <c r="C7">
        <f>B7*1000</f>
        <v/>
      </c>
      <c r="D7" t="n">
        <v>25</v>
      </c>
    </row>
    <row r="8">
      <c r="A8" t="inlineStr">
        <is>
          <t>Jul</t>
        </is>
      </c>
      <c r="B8" t="n">
        <v>17492</v>
      </c>
      <c r="C8">
        <f>B8*1000</f>
        <v/>
      </c>
      <c r="D8" t="n">
        <v>29</v>
      </c>
    </row>
    <row r="9">
      <c r="A9" t="inlineStr">
        <is>
          <t>Aug</t>
        </is>
      </c>
      <c r="B9" t="n">
        <v>16203</v>
      </c>
      <c r="C9">
        <f>B9*1000</f>
        <v/>
      </c>
      <c r="D9" t="n">
        <v>20</v>
      </c>
    </row>
    <row r="10">
      <c r="A10" t="inlineStr">
        <is>
          <t>Sep</t>
        </is>
      </c>
      <c r="B10" t="n">
        <v>17547</v>
      </c>
      <c r="C10">
        <f>B10*1000</f>
        <v/>
      </c>
      <c r="D10" t="n">
        <v>37</v>
      </c>
    </row>
    <row r="11">
      <c r="A11" t="inlineStr">
        <is>
          <t>Oct</t>
        </is>
      </c>
      <c r="B11" t="n">
        <v>20166</v>
      </c>
      <c r="C11">
        <f>B11*1000</f>
        <v/>
      </c>
      <c r="D11" t="n">
        <v>44</v>
      </c>
    </row>
    <row r="12">
      <c r="A12" t="inlineStr">
        <is>
          <t>Nov</t>
        </is>
      </c>
      <c r="B12" t="n">
        <v>18122</v>
      </c>
      <c r="C12">
        <f>B12*1000</f>
        <v/>
      </c>
      <c r="D12" t="n">
        <v>36</v>
      </c>
    </row>
    <row r="13">
      <c r="A13" t="inlineStr">
        <is>
          <t>Dec</t>
        </is>
      </c>
      <c r="B13" t="n">
        <v>20511</v>
      </c>
      <c r="C13">
        <f>B13*1000</f>
        <v/>
      </c>
      <c r="D13" t="n">
        <v>26</v>
      </c>
    </row>
    <row r="14">
      <c r="A14" t="inlineStr">
        <is>
          <t>Total</t>
        </is>
      </c>
      <c r="B14">
        <f>SUM(B2:B13)</f>
        <v/>
      </c>
      <c r="D14">
        <f>AVERAGE(D2:D13)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2026-02-02T18:33:57Z</dcterms:created>
  <dcterms:modified xmlns:dcterms="http://purl.org/dc/terms/" xmlns:xsi="http://www.w3.org/2001/XMLSchema-instance" xsi:type="dcterms:W3CDTF">2026-02-02T18:33:57Z</dcterms:modified>
</cp:coreProperties>
</file>